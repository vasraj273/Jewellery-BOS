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84B50AC-C2D4-42C6-AD01-3E92E0777D81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README_SOP" sheetId="1" r:id="rId1"/>
    <sheet name="Gold_Rates" sheetId="2" r:id="rId2"/>
    <sheet name="Diamond_Rates" sheetId="3" r:id="rId3"/>
    <sheet name="Gemstone_Rates" sheetId="4" r:id="rId4"/>
    <sheet name="Making_Charges" sheetId="5" r:id="rId5"/>
    <sheet name="Quotation_Calculator" sheetId="6" r:id="rId6"/>
    <sheet name="Quotations" sheetId="7" r:id="rId7"/>
    <sheet name="Orders" sheetId="8" r:id="rId8"/>
    <sheet name="Vendor_Database" sheetId="9" r:id="rId9"/>
    <sheet name="Profit_Dashboard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C5" i="2"/>
  <c r="C4" i="2"/>
  <c r="M2" i="6" s="1"/>
  <c r="N2" i="6" s="1"/>
  <c r="C3" i="2"/>
  <c r="B4" i="10"/>
  <c r="B3" i="10"/>
  <c r="B2" i="10"/>
  <c r="O2" i="6"/>
  <c r="P2" i="6" l="1"/>
  <c r="T2" i="6" s="1"/>
  <c r="U2" i="6" l="1"/>
  <c r="V2" i="6" s="1"/>
</calcChain>
</file>

<file path=xl/sharedStrings.xml><?xml version="1.0" encoding="utf-8"?>
<sst xmlns="http://schemas.openxmlformats.org/spreadsheetml/2006/main" count="115" uniqueCount="104">
  <si>
    <t>JEWELRY BUSINESS OPERATING SYSTEM</t>
  </si>
  <si>
    <t>WORKFLOW</t>
  </si>
  <si>
    <t>1. Lead Received</t>
  </si>
  <si>
    <t>2. Product Configuration</t>
  </si>
  <si>
    <t>3. Metal Selection</t>
  </si>
  <si>
    <t>4. Purity Selection</t>
  </si>
  <si>
    <t>5. Diamond / Gemstone Selection</t>
  </si>
  <si>
    <t>6. Auto Pricing</t>
  </si>
  <si>
    <t>7. Quotation Sent</t>
  </si>
  <si>
    <t>8. Follow-up</t>
  </si>
  <si>
    <t>9. Order Confirmation</t>
  </si>
  <si>
    <t>10. Manufacturing &amp; Dispatch</t>
  </si>
  <si>
    <t>KEY FORMULAS</t>
  </si>
  <si>
    <t>Gold Cost = Net Weight × Gold Rate × Purity Factor</t>
  </si>
  <si>
    <t>Diamond Cost = Carat × Rate per Carat</t>
  </si>
  <si>
    <t>Making Charge = Per Gram OR Percentage OR Fixed</t>
  </si>
  <si>
    <t>Final Price = All Costs + GST + Profit</t>
  </si>
  <si>
    <t>Purity</t>
  </si>
  <si>
    <t>Purity Factor</t>
  </si>
  <si>
    <t>Rate per Gram</t>
  </si>
  <si>
    <t>24KT</t>
  </si>
  <si>
    <t>22KT</t>
  </si>
  <si>
    <t>18KT</t>
  </si>
  <si>
    <t>14KT</t>
  </si>
  <si>
    <t>10KT</t>
  </si>
  <si>
    <t>Shape</t>
  </si>
  <si>
    <t>Color</t>
  </si>
  <si>
    <t>Clarity</t>
  </si>
  <si>
    <t>Rate per Carat</t>
  </si>
  <si>
    <t>Round</t>
  </si>
  <si>
    <t>D</t>
  </si>
  <si>
    <t>VVS1</t>
  </si>
  <si>
    <t>E</t>
  </si>
  <si>
    <t>VS1</t>
  </si>
  <si>
    <t>Oval</t>
  </si>
  <si>
    <t>F</t>
  </si>
  <si>
    <t>VS2</t>
  </si>
  <si>
    <t>Princess</t>
  </si>
  <si>
    <t>G</t>
  </si>
  <si>
    <t>SI1</t>
  </si>
  <si>
    <t>Gemstone</t>
  </si>
  <si>
    <t>Grade</t>
  </si>
  <si>
    <t>Price</t>
  </si>
  <si>
    <t>Ruby</t>
  </si>
  <si>
    <t>AAA</t>
  </si>
  <si>
    <t>Emerald</t>
  </si>
  <si>
    <t>AA</t>
  </si>
  <si>
    <t>Sapphire</t>
  </si>
  <si>
    <t>Aquamarine</t>
  </si>
  <si>
    <t>A</t>
  </si>
  <si>
    <t>Category</t>
  </si>
  <si>
    <t>Model</t>
  </si>
  <si>
    <t>Value</t>
  </si>
  <si>
    <t>Ring</t>
  </si>
  <si>
    <t>Per Gram</t>
  </si>
  <si>
    <t>Bracelet</t>
  </si>
  <si>
    <t>Pendant</t>
  </si>
  <si>
    <t>Fixed</t>
  </si>
  <si>
    <t>Necklace</t>
  </si>
  <si>
    <t>Percentage</t>
  </si>
  <si>
    <t>Customer Name</t>
  </si>
  <si>
    <t>Mobile</t>
  </si>
  <si>
    <t>Product Category</t>
  </si>
  <si>
    <t>Metal Color</t>
  </si>
  <si>
    <t>Gross Weight</t>
  </si>
  <si>
    <t>Diamond Type</t>
  </si>
  <si>
    <t>Diamond Shape</t>
  </si>
  <si>
    <t>Diamond Carat</t>
  </si>
  <si>
    <t>Diamond Rate</t>
  </si>
  <si>
    <t>Gemstone Price</t>
  </si>
  <si>
    <t>Gold Rate</t>
  </si>
  <si>
    <t>Gold Cost</t>
  </si>
  <si>
    <t>Diamond Cost</t>
  </si>
  <si>
    <t>Making Charge</t>
  </si>
  <si>
    <t>Hallmark</t>
  </si>
  <si>
    <t>Certification</t>
  </si>
  <si>
    <t>Shipping</t>
  </si>
  <si>
    <t>Subtotal</t>
  </si>
  <si>
    <t>GST 3%</t>
  </si>
  <si>
    <t>Final Price</t>
  </si>
  <si>
    <t>Quotation ID</t>
  </si>
  <si>
    <t>Customer</t>
  </si>
  <si>
    <t>Date</t>
  </si>
  <si>
    <t>Product</t>
  </si>
  <si>
    <t>Quoted Price</t>
  </si>
  <si>
    <t>Status</t>
  </si>
  <si>
    <t>Order ID</t>
  </si>
  <si>
    <t>Advance Paid</t>
  </si>
  <si>
    <t>Balance</t>
  </si>
  <si>
    <t>Manufacturing Status</t>
  </si>
  <si>
    <t>Dispatch Status</t>
  </si>
  <si>
    <t>Vendor Name</t>
  </si>
  <si>
    <t>Location</t>
  </si>
  <si>
    <t>Lead Time</t>
  </si>
  <si>
    <t>Remarks</t>
  </si>
  <si>
    <t>METRIC</t>
  </si>
  <si>
    <t>VALUE</t>
  </si>
  <si>
    <t>Total Quotations</t>
  </si>
  <si>
    <t>Total Orders</t>
  </si>
  <si>
    <t>Estimated Revenue</t>
  </si>
  <si>
    <t>Silver</t>
  </si>
  <si>
    <t>Nitalia</t>
  </si>
  <si>
    <t>White Gold</t>
  </si>
  <si>
    <t>Lab Grown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</si>
</sst>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pane ySplit="1" topLeftCell="A4" activePane="bottomLeft" state="frozen"/>
      <selection pane="bottomLeft" activeCell="A17" sqref="A17"/>
    </sheetView>
  </sheetViews>
  <sheetFormatPr defaultRowHeight="14.5" x14ac:dyDescent="0.35"/>
  <cols>
    <col min="1" max="1" width="50.7265625" bestFit="1" customWidth="1"/>
  </cols>
  <sheetData>
    <row r="1" spans="1:1" ht="21" x14ac:dyDescent="0.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10" customWidth="1"/>
    <col min="2" max="3" width="17" customWidth="1"/>
  </cols>
  <sheetData>
    <row r="1" spans="1:3" x14ac:dyDescent="0.35">
      <c r="A1" s="2" t="s">
        <v>17</v>
      </c>
      <c r="B1" s="2" t="s">
        <v>18</v>
      </c>
      <c r="C1" s="2" t="s">
        <v>19</v>
      </c>
    </row>
    <row r="2" spans="1:3" x14ac:dyDescent="0.35">
      <c r="A2" t="s">
        <v>20</v>
      </c>
      <c r="B2">
        <v>1</v>
      </c>
      <c r="C2">
        <v>15000</v>
      </c>
    </row>
    <row r="3" spans="1:3" x14ac:dyDescent="0.35">
      <c r="A3" t="s">
        <v>21</v>
      </c>
      <c r="B3">
        <v>0.91600000000000004</v>
      </c>
      <c r="C3">
        <f>C2*B3</f>
        <v>13740</v>
      </c>
    </row>
    <row r="4" spans="1:3" x14ac:dyDescent="0.35">
      <c r="A4" t="s">
        <v>22</v>
      </c>
      <c r="B4">
        <v>0.75</v>
      </c>
      <c r="C4">
        <f>C2*B4</f>
        <v>11250</v>
      </c>
    </row>
    <row r="5" spans="1:3" x14ac:dyDescent="0.35">
      <c r="A5" t="s">
        <v>23</v>
      </c>
      <c r="B5">
        <v>0.58499999999999996</v>
      </c>
      <c r="C5">
        <f>C2*B5</f>
        <v>8775</v>
      </c>
    </row>
    <row r="6" spans="1:3" x14ac:dyDescent="0.35">
      <c r="A6" t="s">
        <v>24</v>
      </c>
      <c r="B6">
        <v>0.41699999999999998</v>
      </c>
      <c r="C6">
        <f>C2*B6</f>
        <v>6255</v>
      </c>
    </row>
    <row r="7" spans="1:3" x14ac:dyDescent="0.35">
      <c r="A7" t="s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 activeCell="D3" sqref="D3"/>
    </sheetView>
  </sheetViews>
  <sheetFormatPr defaultRowHeight="14.5" x14ac:dyDescent="0.35"/>
  <cols>
    <col min="1" max="1" width="12" customWidth="1"/>
    <col min="2" max="2" width="9" customWidth="1"/>
    <col min="3" max="3" width="11" customWidth="1"/>
    <col min="4" max="4" width="18" customWidth="1"/>
  </cols>
  <sheetData>
    <row r="1" spans="1:4" x14ac:dyDescent="0.35">
      <c r="A1" s="2" t="s">
        <v>25</v>
      </c>
      <c r="B1" s="2" t="s">
        <v>26</v>
      </c>
      <c r="C1" s="2" t="s">
        <v>27</v>
      </c>
      <c r="D1" s="2" t="s">
        <v>28</v>
      </c>
    </row>
    <row r="2" spans="1:4" x14ac:dyDescent="0.35">
      <c r="A2" t="s">
        <v>29</v>
      </c>
      <c r="B2" t="s">
        <v>30</v>
      </c>
      <c r="C2" t="s">
        <v>31</v>
      </c>
      <c r="D2">
        <v>14000</v>
      </c>
    </row>
    <row r="3" spans="1:4" x14ac:dyDescent="0.35">
      <c r="A3" t="s">
        <v>29</v>
      </c>
      <c r="B3" t="s">
        <v>32</v>
      </c>
      <c r="C3" t="s">
        <v>33</v>
      </c>
      <c r="D3">
        <v>10000</v>
      </c>
    </row>
    <row r="4" spans="1:4" x14ac:dyDescent="0.35">
      <c r="A4" t="s">
        <v>34</v>
      </c>
      <c r="B4" t="s">
        <v>35</v>
      </c>
      <c r="C4" t="s">
        <v>36</v>
      </c>
      <c r="D4">
        <v>12000</v>
      </c>
    </row>
    <row r="5" spans="1:4" x14ac:dyDescent="0.35">
      <c r="A5" t="s">
        <v>37</v>
      </c>
      <c r="B5" t="s">
        <v>38</v>
      </c>
      <c r="C5" t="s">
        <v>39</v>
      </c>
      <c r="D5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" customWidth="1"/>
    <col min="2" max="3" width="9" customWidth="1"/>
  </cols>
  <sheetData>
    <row r="1" spans="1:3" x14ac:dyDescent="0.35">
      <c r="A1" s="2" t="s">
        <v>40</v>
      </c>
      <c r="B1" s="2" t="s">
        <v>41</v>
      </c>
      <c r="C1" s="2" t="s">
        <v>42</v>
      </c>
    </row>
    <row r="2" spans="1:3" x14ac:dyDescent="0.35">
      <c r="A2" t="s">
        <v>43</v>
      </c>
      <c r="B2" t="s">
        <v>44</v>
      </c>
      <c r="C2">
        <v>8000</v>
      </c>
    </row>
    <row r="3" spans="1:3" x14ac:dyDescent="0.35">
      <c r="A3" t="s">
        <v>45</v>
      </c>
      <c r="B3" t="s">
        <v>46</v>
      </c>
      <c r="C3">
        <v>6500</v>
      </c>
    </row>
    <row r="4" spans="1:3" x14ac:dyDescent="0.35">
      <c r="A4" t="s">
        <v>47</v>
      </c>
      <c r="B4" t="s">
        <v>44</v>
      </c>
      <c r="C4">
        <v>10000</v>
      </c>
    </row>
    <row r="5" spans="1:3" x14ac:dyDescent="0.35">
      <c r="A5" t="s">
        <v>48</v>
      </c>
      <c r="B5" t="s">
        <v>49</v>
      </c>
      <c r="C5">
        <v>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12" customWidth="1"/>
    <col min="2" max="2" width="14" customWidth="1"/>
    <col min="3" max="3" width="9" customWidth="1"/>
  </cols>
  <sheetData>
    <row r="1" spans="1:3" x14ac:dyDescent="0.35">
      <c r="A1" s="2" t="s">
        <v>50</v>
      </c>
      <c r="B1" s="2" t="s">
        <v>51</v>
      </c>
      <c r="C1" s="2" t="s">
        <v>52</v>
      </c>
    </row>
    <row r="2" spans="1:3" x14ac:dyDescent="0.35">
      <c r="A2" t="s">
        <v>53</v>
      </c>
      <c r="B2" t="s">
        <v>54</v>
      </c>
      <c r="C2">
        <v>1500</v>
      </c>
    </row>
    <row r="3" spans="1:3" x14ac:dyDescent="0.35">
      <c r="A3" t="s">
        <v>55</v>
      </c>
      <c r="B3" t="s">
        <v>54</v>
      </c>
      <c r="C3">
        <v>1800</v>
      </c>
    </row>
    <row r="4" spans="1:3" x14ac:dyDescent="0.35">
      <c r="A4" t="s">
        <v>56</v>
      </c>
      <c r="B4" t="s">
        <v>57</v>
      </c>
      <c r="C4">
        <v>5000</v>
      </c>
    </row>
    <row r="5" spans="1:3" x14ac:dyDescent="0.35">
      <c r="A5" t="s">
        <v>58</v>
      </c>
      <c r="B5" t="s">
        <v>59</v>
      </c>
      <c r="C5">
        <v>0.12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7" customWidth="1"/>
    <col min="2" max="2" width="10" customWidth="1"/>
    <col min="3" max="3" width="20" customWidth="1"/>
    <col min="4" max="4" width="15" customWidth="1"/>
    <col min="5" max="5" width="10" customWidth="1"/>
    <col min="6" max="7" width="16" customWidth="1"/>
    <col min="8" max="9" width="17" customWidth="1"/>
    <col min="10" max="10" width="16" customWidth="1"/>
    <col min="11" max="11" width="12" customWidth="1"/>
    <col min="12" max="12" width="18" customWidth="1"/>
    <col min="13" max="13" width="40" customWidth="1"/>
    <col min="14" max="14" width="13" customWidth="1"/>
    <col min="15" max="15" width="16" customWidth="1"/>
    <col min="16" max="16" width="17" customWidth="1"/>
    <col min="17" max="17" width="12" customWidth="1"/>
    <col min="18" max="18" width="17" customWidth="1"/>
    <col min="19" max="19" width="12" customWidth="1"/>
    <col min="20" max="20" width="16" customWidth="1"/>
    <col min="21" max="21" width="12" customWidth="1"/>
    <col min="22" max="22" width="15" customWidth="1"/>
  </cols>
  <sheetData>
    <row r="1" spans="1:22" x14ac:dyDescent="0.35">
      <c r="A1" s="2" t="s">
        <v>60</v>
      </c>
      <c r="B1" s="2" t="s">
        <v>61</v>
      </c>
      <c r="C1" s="2" t="s">
        <v>62</v>
      </c>
      <c r="D1" s="2" t="s">
        <v>63</v>
      </c>
      <c r="E1" s="2" t="s">
        <v>17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40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2" t="s">
        <v>77</v>
      </c>
      <c r="U1" s="2" t="s">
        <v>78</v>
      </c>
      <c r="V1" s="2" t="s">
        <v>79</v>
      </c>
    </row>
    <row r="2" spans="1:22" x14ac:dyDescent="0.35">
      <c r="A2" t="s">
        <v>101</v>
      </c>
      <c r="C2" t="s">
        <v>53</v>
      </c>
      <c r="D2" t="s">
        <v>102</v>
      </c>
      <c r="E2" t="s">
        <v>22</v>
      </c>
      <c r="F2">
        <v>6</v>
      </c>
      <c r="G2" t="s">
        <v>103</v>
      </c>
      <c r="H2" t="s">
        <v>29</v>
      </c>
      <c r="I2">
        <v>1.5</v>
      </c>
      <c r="J2">
        <v>20000</v>
      </c>
      <c r="M2">
        <f>IF(E2="24KT",Gold_Rates!C2,
IF(E2="22KT",Gold_Rates!C3,
IF(E2="18KT",Gold_Rates!C4,
IF(E2="14KT",Gold_Rates!C5,
Gold_Rates!C6))))</f>
        <v>11250</v>
      </c>
      <c r="N2">
        <f>F2*M2</f>
        <v>67500</v>
      </c>
      <c r="O2">
        <f>I2*J2</f>
        <v>30000</v>
      </c>
      <c r="P2">
        <f>N2*0.12</f>
        <v>8100</v>
      </c>
      <c r="Q2">
        <v>750</v>
      </c>
      <c r="R2">
        <v>1500</v>
      </c>
      <c r="S2">
        <v>1000</v>
      </c>
      <c r="T2">
        <f>SUM(N2:S2)</f>
        <v>108850</v>
      </c>
      <c r="U2">
        <f>T2*0.03</f>
        <v>3265.5</v>
      </c>
      <c r="V2" s="3">
        <f>T2+U2</f>
        <v>112115.5</v>
      </c>
    </row>
  </sheetData>
  <dataValidations count="4">
    <dataValidation type="list" sqref="C2:C1000" xr:uid="{00000000-0002-0000-0500-000000000000}">
      <formula1>"Ring,Necklace,Bracelet,Pendant,Earrings,Wedding Band"</formula1>
    </dataValidation>
    <dataValidation type="list" sqref="D2:D1000" xr:uid="{00000000-0002-0000-0500-000001000000}">
      <formula1>"Yellow Gold,White Gold,Rose Gold,Platinum"</formula1>
    </dataValidation>
    <dataValidation type="list" sqref="E2:E1000" xr:uid="{00000000-0002-0000-0500-000002000000}">
      <formula1>"24KT,22KT,18KT,14KT,10KT"</formula1>
    </dataValidation>
    <dataValidation type="list" sqref="G2:G1000" xr:uid="{00000000-0002-0000-0500-000003000000}">
      <formula1>"Natural,Lab Grown,None"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16" customWidth="1"/>
    <col min="2" max="2" width="12" customWidth="1"/>
    <col min="3" max="3" width="8" customWidth="1"/>
    <col min="4" max="4" width="11" customWidth="1"/>
    <col min="5" max="5" width="16" customWidth="1"/>
    <col min="6" max="6" width="10" customWidth="1"/>
  </cols>
  <sheetData>
    <row r="1" spans="1:6" x14ac:dyDescent="0.3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6" customWidth="1"/>
    <col min="4" max="4" width="11" customWidth="1"/>
    <col min="5" max="5" width="24" customWidth="1"/>
    <col min="6" max="6" width="19" customWidth="1"/>
  </cols>
  <sheetData>
    <row r="1" spans="1:6" x14ac:dyDescent="0.35">
      <c r="A1" s="2" t="s">
        <v>86</v>
      </c>
      <c r="B1" s="2" t="s">
        <v>81</v>
      </c>
      <c r="C1" s="2" t="s">
        <v>87</v>
      </c>
      <c r="D1" s="2" t="s">
        <v>88</v>
      </c>
      <c r="E1" s="2" t="s">
        <v>89</v>
      </c>
      <c r="F1" s="2" t="s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2" customWidth="1"/>
    <col min="3" max="3" width="10" customWidth="1"/>
    <col min="4" max="4" width="12" customWidth="1"/>
    <col min="5" max="5" width="13" customWidth="1"/>
    <col min="6" max="6" width="11" customWidth="1"/>
  </cols>
  <sheetData>
    <row r="1" spans="1:6" x14ac:dyDescent="0.35">
      <c r="A1" s="2" t="s">
        <v>91</v>
      </c>
      <c r="B1" s="2" t="s">
        <v>50</v>
      </c>
      <c r="C1" s="2" t="s">
        <v>61</v>
      </c>
      <c r="D1" s="2" t="s">
        <v>92</v>
      </c>
      <c r="E1" s="2" t="s">
        <v>93</v>
      </c>
      <c r="F1" s="2" t="s">
        <v>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32" customWidth="1"/>
  </cols>
  <sheetData>
    <row r="1" spans="1:2" x14ac:dyDescent="0.35">
      <c r="A1" s="2" t="s">
        <v>95</v>
      </c>
      <c r="B1" s="2" t="s">
        <v>96</v>
      </c>
    </row>
    <row r="2" spans="1:2" x14ac:dyDescent="0.35">
      <c r="A2" t="s">
        <v>97</v>
      </c>
      <c r="B2">
        <f>COUNTA(Quotations!A2:A1000)</f>
        <v>0</v>
      </c>
    </row>
    <row r="3" spans="1:2" x14ac:dyDescent="0.35">
      <c r="A3" t="s">
        <v>98</v>
      </c>
      <c r="B3">
        <f>COUNTA(Orders!A2:A1000)</f>
        <v>0</v>
      </c>
    </row>
    <row r="4" spans="1:2" x14ac:dyDescent="0.35">
      <c r="A4" t="s">
        <v>99</v>
      </c>
      <c r="B4">
        <f>SUM(Quotations!E2:E1000)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README_SOP</vt:lpstr>
      <vt:lpstr>Gold_Rates</vt:lpstr>
      <vt:lpstr>Diamond_Rates</vt:lpstr>
      <vt:lpstr>Gemstone_Rates</vt:lpstr>
      <vt:lpstr>Making_Charges</vt:lpstr>
      <vt:lpstr>Quotation_Calculator</vt:lpstr>
      <vt:lpstr>Quotations</vt:lpstr>
      <vt:lpstr>Orders</vt:lpstr>
      <vt:lpstr>Vendor_Database</vt:lpstr>
      <vt:lpstr>Profit_Dashboard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Sampad Group</cp:lastModifiedBy>
  <dcterms:created xsi:type="dcterms:W3CDTF">2026-05-24T06:21:27Z</dcterms:created>
  <dcterms:modified xsi:type="dcterms:W3CDTF">2026-05-25T08:11:00Z</dcterms:modified>
</cp:coreProperties>
</file>